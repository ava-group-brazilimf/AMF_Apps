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Volumetria" sheetId="3" state="visible" r:id="rId3"/>
    <sheet xmlns:r="http://schemas.openxmlformats.org/officeDocument/2006/relationships" name="Equipe" sheetId="4" state="visible" r:id="rId4"/>
    <sheet xmlns:r="http://schemas.openxmlformats.org/officeDocument/2006/relationships" name="Infraestrutura" sheetId="5" state="visible" r:id="rId5"/>
    <sheet xmlns:r="http://schemas.openxmlformats.org/officeDocument/2006/relationships" name="IA" sheetId="6" state="visible" r:id="rId6"/>
    <sheet xmlns:r="http://schemas.openxmlformats.org/officeDocument/2006/relationships" name="Resumo" sheetId="7" state="visible" r:id="rId7"/>
    <sheet xmlns:r="http://schemas.openxmlformats.org/officeDocument/2006/relationships" name="Driv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US$ &quot;#,##0"/>
    <numFmt numFmtId="165" formatCode="&quot;US$ &quot;#,##0.00"/>
    <numFmt numFmtId="166" formatCode="0.0%"/>
    <numFmt numFmtId="167" formatCode="&quot;R$ &quot;#,##0"/>
  </numFmts>
  <fonts count="11">
    <font>
      <name val="Calibri"/>
      <family val="2"/>
      <color theme="1"/>
      <sz val="11"/>
      <scheme val="minor"/>
    </font>
    <font>
      <name val="Segoe UI"/>
      <b val="1"/>
      <color rgb="001F3864"/>
      <sz val="16"/>
    </font>
    <font>
      <name val="Segoe UI"/>
      <i val="1"/>
      <color rgb="006B7684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color rgb="006B7684"/>
      <sz val="9"/>
    </font>
    <font>
      <name val="Segoe UI"/>
      <b val="1"/>
      <color rgb="00FFFFFF"/>
      <sz val="9.5"/>
    </font>
    <font>
      <name val="Segoe UI"/>
      <b val="1"/>
      <color rgb="001F3864"/>
      <sz val="10.5"/>
    </font>
    <font>
      <name val="Segoe UI"/>
      <b val="1"/>
      <color rgb="00FFFFFF"/>
      <sz val="10.5"/>
    </font>
    <font>
      <name val="Segoe UI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6E5"/>
      </patternFill>
    </fill>
    <fill>
      <patternFill patternType="solid">
        <fgColor rgb="002E5C8A"/>
      </patternFill>
    </fill>
    <fill>
      <patternFill patternType="solid">
        <fgColor rgb="00EDF3EC"/>
      </patternFill>
    </fill>
    <fill>
      <patternFill patternType="solid">
        <fgColor rgb="00D9E2EC"/>
      </patternFill>
    </fill>
    <fill>
      <patternFill patternType="solid">
        <fgColor rgb="00E8500E"/>
      </patternFill>
    </fill>
    <fill>
      <patternFill patternType="solid">
        <fgColor rgb="00EAF0F7"/>
      </patternFill>
    </fill>
  </fills>
  <borders count="2">
    <border>
      <left/>
      <right/>
      <top/>
      <bottom/>
      <diagonal/>
    </border>
    <border>
      <left style="thin">
        <color rgb="00C9D2DD"/>
      </left>
      <right style="thin">
        <color rgb="00C9D2DD"/>
      </right>
      <top style="thin">
        <color rgb="00C9D2DD"/>
      </top>
      <bottom style="thin">
        <color rgb="00C9D2DD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center" vertical="center"/>
    </xf>
    <xf numFmtId="9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9" fontId="8" fillId="6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3" fontId="8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9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5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right" vertical="center"/>
    </xf>
    <xf numFmtId="3" fontId="8" fillId="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165" fontId="9" fillId="7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167" fontId="8" fillId="6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left" vertical="center"/>
    </xf>
    <xf numFmtId="165" fontId="10" fillId="7" borderId="1" applyAlignment="1" pivotButton="0" quotePrefix="0" xfId="0">
      <alignment horizontal="right" vertical="center"/>
    </xf>
    <xf numFmtId="167" fontId="10" fillId="7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500E"/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8" customWidth="1" min="2" max="2"/>
  </cols>
  <sheetData>
    <row r="1" ht="24" customHeight="1">
      <c r="A1" s="1" t="inlineStr">
        <is>
          <t>Calculadora de Custo — Apps Migration (AVA Fabric Agents)</t>
        </is>
      </c>
    </row>
    <row r="2">
      <c r="A2" s="2" t="inlineStr">
        <is>
          <t>PoC de 4 semanas · custo total com pessoas alocadas · valores em USD com conversão para BRL</t>
        </is>
      </c>
    </row>
    <row r="4" ht="20" customHeight="1">
      <c r="A4" s="3" t="inlineStr"/>
      <c r="B4" s="4" t="inlineStr">
        <is>
          <t>Como usar</t>
        </is>
      </c>
    </row>
    <row r="5" ht="15" customHeight="1">
      <c r="B5" s="5" t="inlineStr">
        <is>
          <t>Preencha somente as células com fundo AMARELO. As células com fundo VERDE são calculadas — não edite.</t>
        </is>
      </c>
    </row>
    <row r="6" ht="15" customHeight="1">
      <c r="B6" s="5" t="inlineStr">
        <is>
          <t>Ordem sugerida: 1) Parametros  →  2) Volumetria  →  3) Equipe  →  4) Infraestrutura  →  5) IA  →  6) Resumo.</t>
        </is>
      </c>
    </row>
    <row r="7" ht="20" customHeight="1">
      <c r="A7" s="3" t="inlineStr"/>
      <c r="B7" s="4" t="inlineStr">
        <is>
          <t>O que cada aba faz</t>
        </is>
      </c>
    </row>
    <row r="8" ht="15" customHeight="1">
      <c r="B8" s="5" t="inlineStr">
        <is>
          <t>1. Parametros — semanas, horas/semana, câmbio, margem padrão, contingência, rate card por nível e baseline de referência.</t>
        </is>
      </c>
    </row>
    <row r="9" ht="15" customHeight="1">
      <c r="B9" s="5" t="inlineStr">
        <is>
          <t>2. Volumetria — LOC, módulos, integrações e telas do sistema do cliente; stack legada e tipo de migração. Produz o Combined Base Factor e as horas recomendadas.</t>
        </is>
      </c>
    </row>
    <row r="10" ht="15" customHeight="1">
      <c r="B10" s="5" t="inlineStr">
        <is>
          <t>3. Equipe — papéis alocados, horas/semana e semanas. É AQUI que o custo de pessoas é formado (horas × rate card).</t>
        </is>
      </c>
    </row>
    <row r="11" ht="15" customHeight="1">
      <c r="B11" s="5" t="inlineStr">
        <is>
          <t>4. Infraestrutura — Azure durante a PoC (runner do pipeline, ambiente DEV do BC piloto, serviços compartilhados, storage).</t>
        </is>
      </c>
    </row>
    <row r="12" ht="15" customHeight="1">
      <c r="B12" s="5" t="inlineStr">
        <is>
          <t>5. IA — custo do modelo por fase, a partir de tokens de entrada/saída medidos no run real.</t>
        </is>
      </c>
    </row>
    <row r="13" ht="15" customHeight="1">
      <c r="B13" s="5" t="inlineStr">
        <is>
          <t>6. Resumo — consolida pessoas + infraestrutura + IA, aplica contingência e apresenta o total em USD e BRL.</t>
        </is>
      </c>
    </row>
    <row r="14" ht="20" customHeight="1">
      <c r="A14" s="3" t="inlineStr"/>
      <c r="B14" s="4" t="inlineStr">
        <is>
          <t>Margem</t>
        </is>
      </c>
    </row>
    <row r="15" ht="15" customHeight="1">
      <c r="B15" s="5" t="inlineStr">
        <is>
          <t>Cada linha de custo tem sua PRÓPRIA coluna de margem (%), pré-carregada com a margem padrão de Parametros!B12.</t>
        </is>
      </c>
    </row>
    <row r="16" ht="15" customHeight="1">
      <c r="B16" s="5" t="inlineStr">
        <is>
          <t>A lista suspensa oferece 10% / 15% / 20% / 25%, mas qualquer percentual pode ser digitado — a margem é por item, não global.</t>
        </is>
      </c>
    </row>
    <row r="17" ht="20" customHeight="1">
      <c r="A17" s="3" t="inlineStr"/>
      <c r="B17" s="4" t="inlineStr">
        <is>
          <t>Base de evidência</t>
        </is>
      </c>
    </row>
    <row r="18" ht="15" customHeight="1">
      <c r="B18" s="5" t="inlineStr">
        <is>
          <t>Todos os valores de referência vêm de uma execução real e completa do pipeline (projeto nopcommerce-04, ago/2026):</t>
        </is>
      </c>
    </row>
    <row r="19" ht="15" customHeight="1">
      <c r="B19" s="5" t="inlineStr">
        <is>
          <t>254.001 LOC · 1.731 arquivos · 10 bounded contexts · 436 regras de negócio · 394 tasks · 232 artefatos · estimativa formal de 3.323 h.</t>
        </is>
      </c>
    </row>
    <row r="20" ht="15" customHeight="1">
      <c r="B20" s="5" t="inlineStr">
        <is>
          <t>Custo de IA medido: US$ 1,58 por task de codegen (239.619 tokens de entrada / 45–69 mil de saída).</t>
        </is>
      </c>
    </row>
    <row r="21" ht="20" customHeight="1">
      <c r="A21" s="3" t="inlineStr"/>
      <c r="B21" s="4" t="inlineStr">
        <is>
          <t>Atenção</t>
        </is>
      </c>
    </row>
    <row r="22" ht="15" customHeight="1">
      <c r="B22" s="5" t="inlineStr">
        <is>
          <t>O rate card (Parametros, linhas 18–23) traz valores ILUSTRATIVOS. Substitua pelos valores oficiais antes de usar comercialmente.</t>
        </is>
      </c>
    </row>
    <row r="23" ht="15" customHeight="1">
      <c r="B23" s="5" t="inlineStr">
        <is>
          <t>O custo de IA calculado bottom-up (aba IA) costuma ficar ABAIXO da provisão de US$ 600 usada na proposta. O Resumo adota o MAIOR dos dois, por conservadorismo.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C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62" customWidth="1" min="3" max="3"/>
  </cols>
  <sheetData>
    <row r="1" ht="24" customHeight="1">
      <c r="A1" s="1" t="inlineStr">
        <is>
          <t>1. Parâmetros</t>
        </is>
      </c>
    </row>
    <row r="2">
      <c r="A2" s="2" t="inlineStr">
        <is>
          <t>Células amarelas são de entrada. Este é o único lugar onde se define câmbio, margem padrão e rate card.</t>
        </is>
      </c>
    </row>
    <row r="4" ht="20" customHeight="1">
      <c r="A4" s="3" t="inlineStr">
        <is>
          <t>1.1 Identificação</t>
        </is>
      </c>
      <c r="B4" s="3" t="n"/>
      <c r="C4" s="3" t="n"/>
    </row>
    <row r="5">
      <c r="A5" s="6" t="inlineStr">
        <is>
          <t>Cliente</t>
        </is>
      </c>
      <c r="B5" s="7" t="inlineStr">
        <is>
          <t>ABC Bank</t>
        </is>
      </c>
    </row>
    <row r="6">
      <c r="A6" s="6" t="inlineStr">
        <is>
          <t>Escopo</t>
        </is>
      </c>
      <c r="B6" s="7" t="inlineStr">
        <is>
          <t>PoC 4 semanas — F0→F3S + F4 em 1 BC piloto</t>
        </is>
      </c>
    </row>
    <row r="7">
      <c r="A7" s="6" t="inlineStr">
        <is>
          <t>Data da proposta</t>
        </is>
      </c>
      <c r="B7" s="7" t="inlineStr">
        <is>
          <t>2026-08-21</t>
        </is>
      </c>
    </row>
    <row r="9" ht="20" customHeight="1">
      <c r="A9" s="3" t="inlineStr">
        <is>
          <t>1.2 Parâmetros gerais</t>
        </is>
      </c>
      <c r="B9" s="3" t="n"/>
      <c r="C9" s="3" t="n"/>
    </row>
    <row r="10">
      <c r="A10" s="6" t="inlineStr">
        <is>
          <t>Semanas da PoC</t>
        </is>
      </c>
      <c r="B10" s="8" t="n">
        <v>4</v>
      </c>
      <c r="C10" s="9" t="inlineStr">
        <is>
          <t>Prazo contratado. Dirige horas (Equipe) e meses de infraestrutura.</t>
        </is>
      </c>
    </row>
    <row r="11">
      <c r="A11" s="6" t="inlineStr">
        <is>
          <t>Horas por semana (1 FTE)</t>
        </is>
      </c>
      <c r="B11" s="8" t="n">
        <v>40</v>
      </c>
      <c r="C11" s="9" t="inlineStr">
        <is>
          <t>Base para converter alocação em FTE.</t>
        </is>
      </c>
    </row>
    <row r="12">
      <c r="A12" s="6" t="inlineStr">
        <is>
          <t>Câmbio USD → BRL</t>
        </is>
      </c>
      <c r="B12" s="10" t="n">
        <v>5.4</v>
      </c>
      <c r="C12" s="9" t="inlineStr">
        <is>
          <t>Usado apenas na conversão do total no Resumo.</t>
        </is>
      </c>
    </row>
    <row r="13">
      <c r="A13" s="6" t="inlineStr">
        <is>
          <t>Margem padrão por item (%)</t>
        </is>
      </c>
      <c r="B13" s="11" t="n">
        <v>0.2</v>
      </c>
      <c r="C13" s="9" t="inlineStr">
        <is>
          <t>Pré-carrega a coluna de margem de cada aba. Pode ser alterada linha a linha.</t>
        </is>
      </c>
    </row>
    <row r="14">
      <c r="A14" s="6" t="inlineStr">
        <is>
          <t>Contingência sobre o total (%)</t>
        </is>
      </c>
      <c r="B14" s="11" t="n">
        <v>0.15</v>
      </c>
      <c r="C14" s="9" t="inlineStr">
        <is>
          <t>Cobre re-execução de uma fase e remediação do build gate no BC piloto.</t>
        </is>
      </c>
    </row>
    <row r="15">
      <c r="A15" s="6" t="inlineStr">
        <is>
          <t>Provisão mínima de IA (US$)</t>
        </is>
      </c>
      <c r="B15" s="12" t="n">
        <v>600</v>
      </c>
      <c r="C15" s="9" t="inlineStr">
        <is>
          <t>Valor adotado na proposta. O Resumo usa o MAIOR entre este e o cálculo bottom-up.</t>
        </is>
      </c>
    </row>
    <row r="17" ht="20" customHeight="1">
      <c r="A17" s="3" t="inlineStr">
        <is>
          <t>1.3 Rate card por nível (US$/h) — SUBSTITUIR pelos valores oficiais</t>
        </is>
      </c>
      <c r="B17" s="3" t="n"/>
      <c r="C17" s="3" t="n"/>
    </row>
    <row r="18" ht="28" customHeight="1">
      <c r="A18" s="13" t="inlineStr">
        <is>
          <t>Nível</t>
        </is>
      </c>
      <c r="B18" s="13" t="inlineStr">
        <is>
          <t>US$ / hora</t>
        </is>
      </c>
      <c r="C18" s="13" t="inlineStr">
        <is>
          <t>Observação</t>
        </is>
      </c>
    </row>
    <row r="19">
      <c r="A19" s="6" t="inlineStr">
        <is>
          <t>Manager</t>
        </is>
      </c>
      <c r="B19" s="14" t="n">
        <v>95</v>
      </c>
      <c r="C19" s="15" t="inlineStr">
        <is>
          <t>Solution Architect / PM</t>
        </is>
      </c>
    </row>
    <row r="20">
      <c r="A20" s="6" t="inlineStr">
        <is>
          <t>Associate Manager</t>
        </is>
      </c>
      <c r="B20" s="14" t="n">
        <v>78</v>
      </c>
      <c r="C20" s="15" t="inlineStr">
        <is>
          <t>Platform engineer / Security</t>
        </is>
      </c>
    </row>
    <row r="21">
      <c r="A21" s="6" t="inlineStr">
        <is>
          <t>Team Lead / Consultant</t>
        </is>
      </c>
      <c r="B21" s="14" t="n">
        <v>62</v>
      </c>
      <c r="C21" s="15" t="inlineStr">
        <is>
          <t>Analista legado / Arquiteto TO-BE / Dev Sr.</t>
        </is>
      </c>
    </row>
    <row r="22">
      <c r="A22" s="6" t="inlineStr">
        <is>
          <t>Senior Analyst</t>
        </is>
      </c>
      <c r="B22" s="14" t="n">
        <v>45</v>
      </c>
      <c r="C22" s="15" t="inlineStr">
        <is>
          <t>Dev Angular / QA / DevOps</t>
        </is>
      </c>
    </row>
    <row r="23">
      <c r="A23" s="6" t="inlineStr">
        <is>
          <t>Analyst</t>
        </is>
      </c>
      <c r="B23" s="14" t="n">
        <v>35</v>
      </c>
      <c r="C23" s="15" t="inlineStr">
        <is>
          <t>Apoio</t>
        </is>
      </c>
    </row>
    <row r="24">
      <c r="A24" s="6" t="inlineStr">
        <is>
          <t>Shared Service - Onshore</t>
        </is>
      </c>
      <c r="B24" s="14" t="n">
        <v>38</v>
      </c>
      <c r="C24" s="15" t="inlineStr">
        <is>
          <t>Pod da AVA Fabric Factory (blended)</t>
        </is>
      </c>
    </row>
    <row r="26" ht="20" customHeight="1">
      <c r="A26" s="3" t="inlineStr">
        <is>
          <t>1.4 Baseline de referência — execução real do pipeline (nopcommerce-04)</t>
        </is>
      </c>
      <c r="B26" s="3" t="n"/>
      <c r="C26" s="3" t="n"/>
    </row>
    <row r="27" ht="28" customHeight="1">
      <c r="A27" s="13" t="inlineStr">
        <is>
          <t>Métrica</t>
        </is>
      </c>
      <c r="B27" s="13" t="inlineStr">
        <is>
          <t>Valor</t>
        </is>
      </c>
      <c r="C27" s="13" t="inlineStr">
        <is>
          <t>Origem</t>
        </is>
      </c>
    </row>
    <row r="28">
      <c r="A28" s="6" t="inlineStr">
        <is>
          <t>Lines of Code</t>
        </is>
      </c>
      <c r="B28" s="8" t="n">
        <v>254001</v>
      </c>
      <c r="C28" s="15" t="inlineStr">
        <is>
          <t>asis/metrics.json</t>
        </is>
      </c>
    </row>
    <row r="29">
      <c r="A29" s="6" t="inlineStr">
        <is>
          <t>Arquivos / unidades</t>
        </is>
      </c>
      <c r="B29" s="8" t="n">
        <v>1731</v>
      </c>
      <c r="C29" s="15" t="inlineStr">
        <is>
          <t>asis/metrics.json</t>
        </is>
      </c>
    </row>
    <row r="30">
      <c r="A30" s="6" t="inlineStr">
        <is>
          <t>Integrações (APIs + plugins)</t>
        </is>
      </c>
      <c r="B30" s="8" t="n">
        <v>24</v>
      </c>
      <c r="C30" s="15" t="inlineStr">
        <is>
          <t>asis/metrics.json</t>
        </is>
      </c>
    </row>
    <row r="31">
      <c r="A31" s="6" t="inlineStr">
        <is>
          <t>Telas / forms / controllers</t>
        </is>
      </c>
      <c r="B31" s="8" t="n">
        <v>116</v>
      </c>
      <c r="C31" s="15" t="inlineStr">
        <is>
          <t>asis/metrics.json</t>
        </is>
      </c>
    </row>
    <row r="32">
      <c r="A32" s="6" t="inlineStr">
        <is>
          <t>Bounded contexts</t>
        </is>
      </c>
      <c r="B32" s="8" t="n">
        <v>10</v>
      </c>
      <c r="C32" s="15" t="inlineStr">
        <is>
          <t>asis/metrics.json</t>
        </is>
      </c>
    </row>
    <row r="33">
      <c r="A33" s="6" t="inlineStr">
        <is>
          <t>Tasks do backlog (programa completo)</t>
        </is>
      </c>
      <c r="B33" s="8" t="n">
        <v>394</v>
      </c>
      <c r="C33" s="15" t="inlineStr">
        <is>
          <t>speckit/traceability.json</t>
        </is>
      </c>
    </row>
    <row r="34">
      <c r="A34" s="6" t="inlineStr">
        <is>
          <t>Horas da PoC de referência</t>
        </is>
      </c>
      <c r="B34" s="8" t="n">
        <v>800</v>
      </c>
      <c r="C34" s="15" t="inlineStr">
        <is>
          <t>BEH Staffing — slide 8</t>
        </is>
      </c>
    </row>
    <row r="35">
      <c r="A35" s="6" t="inlineStr">
        <is>
          <t>Custo de IA por task de codegen (US$)</t>
        </is>
      </c>
      <c r="B35" s="14" t="n">
        <v>1.58</v>
      </c>
      <c r="C35" s="15" t="inlineStr">
        <is>
          <t>runner-state.json (medido)</t>
        </is>
      </c>
    </row>
    <row r="37" ht="20" customHeight="1">
      <c r="A37" s="3" t="inlineStr">
        <is>
          <t>1.5 Preço do modelo de IA</t>
        </is>
      </c>
      <c r="B37" s="3" t="n"/>
      <c r="C37" s="3" t="n"/>
    </row>
    <row r="38">
      <c r="A38" s="6" t="inlineStr">
        <is>
          <t>US$ por 1M tokens de ENTRADA</t>
        </is>
      </c>
      <c r="B38" s="14" t="n">
        <v>3</v>
      </c>
      <c r="C38" s="9" t="inlineStr">
        <is>
          <t>Tarifa pública de referência.</t>
        </is>
      </c>
    </row>
    <row r="39">
      <c r="A39" s="6" t="inlineStr">
        <is>
          <t>US$ por 1M tokens de SAÍDA</t>
        </is>
      </c>
      <c r="B39" s="14" t="n">
        <v>15</v>
      </c>
      <c r="C39" s="9" t="inlineStr">
        <is>
          <t>Tarifa pública de referência.</t>
        </is>
      </c>
    </row>
  </sheetData>
  <dataValidations count="2">
    <dataValidation sqref="B13" showDropDown="0" showInputMessage="0" showErrorMessage="0" allowBlank="1" type="list">
      <formula1>"0.10,0.15,0.20,0.25"</formula1>
    </dataValidation>
    <dataValidation sqref="B14" showDropDown="0" showInputMessage="0" showErrorMessage="0" allowBlank="1" type="list">
      <formula1>"0.00,0.10,0.15,0.20"</formula1>
    </dataValidation>
  </dataValidations>
  <printOptions horizontalCentered="1"/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I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6" customWidth="1" min="3" max="3"/>
    <col width="14" customWidth="1" min="4" max="4"/>
    <col width="12" customWidth="1" min="5" max="5"/>
    <col width="16" customWidth="1" min="6" max="6"/>
    <col width="4" customWidth="1" min="7" max="7"/>
    <col width="30" customWidth="1" min="8" max="8"/>
    <col width="12" customWidth="1" min="9" max="9"/>
  </cols>
  <sheetData>
    <row r="1" ht="24" customHeight="1">
      <c r="A1" s="1" t="inlineStr">
        <is>
          <t>2. Volumetria do sistema do cliente</t>
        </is>
      </c>
    </row>
    <row r="2">
      <c r="A2" s="2" t="inlineStr">
        <is>
          <t>Dirige o dimensionamento do esforço. Comparada ao baseline, produz o Combined Base Factor.</t>
        </is>
      </c>
    </row>
    <row r="4" ht="20" customHeight="1">
      <c r="A4" s="3" t="inlineStr">
        <is>
          <t>2.1 Volumetria (entrada)</t>
        </is>
      </c>
      <c r="B4" s="3" t="n"/>
      <c r="C4" s="3" t="n"/>
      <c r="D4" s="3" t="n"/>
      <c r="E4" s="3" t="n"/>
      <c r="F4" s="3" t="n"/>
    </row>
    <row r="5" ht="28" customHeight="1">
      <c r="A5" s="13" t="inlineStr">
        <is>
          <t>Categoria</t>
        </is>
      </c>
      <c r="B5" s="13" t="inlineStr">
        <is>
          <t>Volumetria</t>
        </is>
      </c>
      <c r="C5" s="13" t="inlineStr">
        <is>
          <t>Baseline</t>
        </is>
      </c>
      <c r="D5" s="13" t="inlineStr">
        <is>
          <t>Ratio</t>
        </is>
      </c>
      <c r="E5" s="13" t="inlineStr">
        <is>
          <t>Peso</t>
        </is>
      </c>
      <c r="F5" s="13" t="inlineStr">
        <is>
          <t>Contribuição</t>
        </is>
      </c>
    </row>
    <row r="6">
      <c r="A6" s="6" t="inlineStr">
        <is>
          <t>Codebase Size (unidades / módulos)</t>
        </is>
      </c>
      <c r="B6" s="8" t="n">
        <v>400</v>
      </c>
      <c r="C6" s="16">
        <f>Parametros!$B$29</f>
        <v/>
      </c>
      <c r="D6" s="17">
        <f>IFERROR(B6/C6,0)</f>
        <v/>
      </c>
      <c r="E6" s="11" t="n">
        <v>0.1</v>
      </c>
      <c r="F6" s="17">
        <f>D6*E6</f>
        <v/>
      </c>
    </row>
    <row r="7">
      <c r="A7" s="6" t="inlineStr">
        <is>
          <t>Lines of Code</t>
        </is>
      </c>
      <c r="B7" s="8" t="n">
        <v>2028576</v>
      </c>
      <c r="C7" s="16">
        <f>Parametros!$B$28</f>
        <v/>
      </c>
      <c r="D7" s="17">
        <f>IFERROR(B7/C7,0)</f>
        <v/>
      </c>
      <c r="E7" s="11" t="n">
        <v>0.5</v>
      </c>
      <c r="F7" s="17">
        <f>D7*E7</f>
        <v/>
      </c>
    </row>
    <row r="8">
      <c r="A8" s="6" t="inlineStr">
        <is>
          <t>Integrations</t>
        </is>
      </c>
      <c r="B8" s="8" t="n">
        <v>45</v>
      </c>
      <c r="C8" s="16">
        <f>Parametros!$B$30</f>
        <v/>
      </c>
      <c r="D8" s="17">
        <f>IFERROR(B8/C8,0)</f>
        <v/>
      </c>
      <c r="E8" s="11" t="n">
        <v>0.2</v>
      </c>
      <c r="F8" s="17">
        <f>D8*E8</f>
        <v/>
      </c>
    </row>
    <row r="9">
      <c r="A9" s="6" t="inlineStr">
        <is>
          <t>Forms / Screens</t>
        </is>
      </c>
      <c r="B9" s="8" t="n">
        <v>776</v>
      </c>
      <c r="C9" s="16">
        <f>Parametros!$B$31</f>
        <v/>
      </c>
      <c r="D9" s="17">
        <f>IFERROR(B9/C9,0)</f>
        <v/>
      </c>
      <c r="E9" s="11" t="n">
        <v>0.2</v>
      </c>
      <c r="F9" s="17">
        <f>D9*E9</f>
        <v/>
      </c>
    </row>
    <row r="10">
      <c r="A10" s="18" t="inlineStr">
        <is>
          <t>Índice de volumetria (soma ponderada)</t>
        </is>
      </c>
      <c r="B10" s="19" t="n"/>
      <c r="C10" s="19" t="n"/>
      <c r="D10" s="19" t="n"/>
      <c r="E10" s="20">
        <f>SUM(E6:E9)</f>
        <v/>
      </c>
      <c r="F10" s="21">
        <f>SUM(F6:F9)</f>
        <v/>
      </c>
    </row>
    <row r="12" ht="20" customHeight="1">
      <c r="A12" s="3" t="inlineStr">
        <is>
          <t>2.2 Stack legada e tipo de migração</t>
        </is>
      </c>
      <c r="B12" s="3" t="n"/>
      <c r="C12" s="3" t="n"/>
      <c r="D12" s="3" t="n"/>
      <c r="E12" s="3" t="n"/>
      <c r="F12" s="3" t="n"/>
    </row>
    <row r="13">
      <c r="A13" s="6" t="inlineStr">
        <is>
          <t>Legacy Stack</t>
        </is>
      </c>
      <c r="B13" s="7" t="inlineStr">
        <is>
          <t>Delphi 5/7/XE</t>
        </is>
      </c>
      <c r="C13" s="22" t="inlineStr">
        <is>
          <t>Multiplicador</t>
        </is>
      </c>
      <c r="D13" s="17">
        <f>IFERROR(VLOOKUP($B$13,$H$14:$I$27,2,FALSE),1)</f>
        <v/>
      </c>
      <c r="H13" s="23" t="inlineStr">
        <is>
          <t>Stack legada</t>
        </is>
      </c>
      <c r="I13" s="24" t="inlineStr">
        <is>
          <t>Fator</t>
        </is>
      </c>
    </row>
    <row r="14">
      <c r="A14" s="6" t="inlineStr">
        <is>
          <t>Migration Type</t>
        </is>
      </c>
      <c r="B14" s="7" t="inlineStr">
        <is>
          <t>Refactor</t>
        </is>
      </c>
      <c r="C14" s="22" t="inlineStr">
        <is>
          <t>Multiplicador</t>
        </is>
      </c>
      <c r="D14" s="17">
        <f>IFERROR(VLOOKUP($B$14,$H$30:$I$33,2,FALSE),1)</f>
        <v/>
      </c>
      <c r="H14" s="25" t="inlineStr">
        <is>
          <t>Delphi 5/7/XE</t>
        </is>
      </c>
      <c r="I14" s="26" t="n">
        <v>1.25</v>
      </c>
    </row>
    <row r="15">
      <c r="H15" s="25" t="inlineStr">
        <is>
          <t>VB6 6.0</t>
        </is>
      </c>
      <c r="I15" s="26" t="n">
        <v>1.3</v>
      </c>
    </row>
    <row r="16" ht="20" customHeight="1">
      <c r="A16" s="3" t="inlineStr">
        <is>
          <t>2.3 Fatores resultantes</t>
        </is>
      </c>
      <c r="B16" s="3" t="n"/>
      <c r="C16" s="3" t="n"/>
      <c r="D16" s="3" t="n"/>
      <c r="E16" s="3" t="n"/>
      <c r="F16" s="3" t="n"/>
      <c r="H16" s="25" t="inlineStr">
        <is>
          <t>.NET 3.x 3.0-3.5</t>
        </is>
      </c>
      <c r="I16" s="26" t="n">
        <v>1.1</v>
      </c>
    </row>
    <row r="17">
      <c r="A17" s="6" t="inlineStr">
        <is>
          <t>Combined Base Factor  (índice × stack × tipo)</t>
        </is>
      </c>
      <c r="B17" s="27">
        <f>F10*D13*D14</f>
        <v/>
      </c>
      <c r="C17" s="28" t="inlineStr">
        <is>
          <t>Quantas vezes o sistema do cliente é maior/mais complexo que o baseline.</t>
        </is>
      </c>
      <c r="H17" s="25" t="inlineStr">
        <is>
          <t>.NET 4.x 4.0-4.8</t>
        </is>
      </c>
      <c r="I17" s="26" t="n">
        <v>1</v>
      </c>
    </row>
    <row r="18">
      <c r="A18" s="6" t="inlineStr">
        <is>
          <t>Fator de esforço da PoC  (=RAIZ do Combined Base Factor)</t>
        </is>
      </c>
      <c r="B18" s="27">
        <f>SQRT(B17)</f>
        <v/>
      </c>
      <c r="C18" s="28" t="inlineStr">
        <is>
          <t>Sublinear: a PoC tem escopo fixo (1 BC piloto), logo não escala 1:1 com o tamanho.</t>
        </is>
      </c>
      <c r="H18" s="25" t="inlineStr">
        <is>
          <t>Clipper 5.x</t>
        </is>
      </c>
      <c r="I18" s="26" t="n">
        <v>1.4</v>
      </c>
    </row>
    <row r="19">
      <c r="A19" s="6" t="inlineStr">
        <is>
          <t>Horas recomendadas para a PoC</t>
        </is>
      </c>
      <c r="B19" s="29">
        <f>ROUND(Parametros!$B$34*B18,0)</f>
        <v/>
      </c>
      <c r="C19" s="28" t="inlineStr">
        <is>
          <t>Baseline de 800 h × fator de esforço. Compare com as horas alocadas na aba Equipe.</t>
        </is>
      </c>
      <c r="H19" s="25" t="inlineStr">
        <is>
          <t>COBOL ANSI</t>
        </is>
      </c>
      <c r="I19" s="26" t="n">
        <v>1.5</v>
      </c>
    </row>
    <row r="20">
      <c r="H20" s="25" t="inlineStr">
        <is>
          <t>Java EE J2EE-7</t>
        </is>
      </c>
      <c r="I20" s="26" t="n">
        <v>1.15</v>
      </c>
    </row>
    <row r="21" ht="20" customHeight="1">
      <c r="A21" s="3" t="inlineStr">
        <is>
          <t>2.4 Backlog estimado (dirige o custo de IA em F4)</t>
        </is>
      </c>
      <c r="B21" s="3" t="n"/>
      <c r="C21" s="3" t="n"/>
      <c r="D21" s="3" t="n"/>
      <c r="E21" s="3" t="n"/>
      <c r="F21" s="3" t="n"/>
      <c r="H21" s="25" t="inlineStr">
        <is>
          <t>VB.NET 2002+</t>
        </is>
      </c>
      <c r="I21" s="26" t="n">
        <v>1.15</v>
      </c>
    </row>
    <row r="22">
      <c r="A22" s="6" t="inlineStr">
        <is>
          <t>Tasks estimadas — programa completo</t>
        </is>
      </c>
      <c r="B22" s="30">
        <f>ROUND(B7/(Parametros!$B$28/Parametros!$B$33),0)</f>
        <v/>
      </c>
      <c r="C22" s="28" t="inlineStr">
        <is>
          <t>Proporcional ao LOC, calibrado em 394 tasks para 254.001 LOC.</t>
        </is>
      </c>
      <c r="H22" s="25" t="inlineStr">
        <is>
          <t>PowerBuilder 10-12</t>
        </is>
      </c>
      <c r="I22" s="26" t="n">
        <v>1.35</v>
      </c>
    </row>
    <row r="23">
      <c r="A23" s="6" t="inlineStr">
        <is>
          <t>Bounded contexts estimados</t>
        </is>
      </c>
      <c r="B23" s="8" t="n">
        <v>10</v>
      </c>
      <c r="C23" s="28" t="inlineStr">
        <is>
          <t>O run de referência identificou 10 BCs em 254.001 LOC.</t>
        </is>
      </c>
      <c r="H23" s="25" t="inlineStr">
        <is>
          <t>Oracle Forms 6i-12c</t>
        </is>
      </c>
      <c r="I23" s="26" t="n">
        <v>1.35</v>
      </c>
    </row>
    <row r="24">
      <c r="A24" s="6" t="inlineStr">
        <is>
          <t>Tasks por bounded context</t>
        </is>
      </c>
      <c r="B24" s="30">
        <f>IFERROR(ROUND(B22/B23,0),0)</f>
        <v/>
      </c>
      <c r="C24" s="28" t="inlineStr">
        <is>
          <t>Backlog médio de um BC do programa completo.</t>
        </is>
      </c>
      <c r="H24" s="25" t="inlineStr">
        <is>
          <t>FoxPro 2.x-9</t>
        </is>
      </c>
      <c r="I24" s="26" t="n">
        <v>1.4</v>
      </c>
    </row>
    <row r="25">
      <c r="A25" s="6" t="inlineStr">
        <is>
          <t>Teto de tasks de codegen na PoC</t>
        </is>
      </c>
      <c r="B25" s="8" t="n">
        <v>40</v>
      </c>
      <c r="C25" s="28" t="inlineStr">
        <is>
          <t>Capacidade real de F4 em 4 semanas com 1 dev sênior no build gate.</t>
        </is>
      </c>
      <c r="H25" s="25" t="inlineStr">
        <is>
          <t>C# NET old 2.0-3.5</t>
        </is>
      </c>
      <c r="I25" s="26" t="n">
        <v>1.1</v>
      </c>
    </row>
    <row r="26">
      <c r="A26" s="6" t="inlineStr">
        <is>
          <t>Tasks de codegen na PoC (F4)</t>
        </is>
      </c>
      <c r="B26" s="29">
        <f>MIN(B24,B25)</f>
        <v/>
      </c>
      <c r="C26" s="28" t="inlineStr">
        <is>
          <t>Entra na aba IA como quantidade da fase F4. A PoC é time-boxed: nunca excede o teto.</t>
        </is>
      </c>
      <c r="H26" s="25" t="inlineStr">
        <is>
          <t>Cobol</t>
        </is>
      </c>
      <c r="I26" s="26" t="n">
        <v>1.5</v>
      </c>
    </row>
    <row r="27">
      <c r="H27" s="25" t="inlineStr">
        <is>
          <t>DB2</t>
        </is>
      </c>
      <c r="I27" s="26" t="n">
        <v>1.2</v>
      </c>
    </row>
    <row r="28">
      <c r="A28" s="6" t="inlineStr">
        <is>
          <t>Cobertura do BC piloto na PoC</t>
        </is>
      </c>
      <c r="B28" s="31">
        <f>IFERROR(B26/B24,0)</f>
        <v/>
      </c>
      <c r="C28" s="28">
        <f>IF(B26&gt;=B24,"O BC piloto cabe inteiro na PoC.","A PoC cobre apenas parte do BC piloto — selecione um BC menor ou amplie o prazo.")</f>
        <v/>
      </c>
    </row>
    <row r="29">
      <c r="H29" s="23" t="inlineStr">
        <is>
          <t>Migration Type</t>
        </is>
      </c>
      <c r="I29" s="24" t="inlineStr">
        <is>
          <t>Fator</t>
        </is>
      </c>
    </row>
    <row r="30">
      <c r="H30" s="25" t="inlineStr">
        <is>
          <t>Rehost</t>
        </is>
      </c>
      <c r="I30" s="26" t="n">
        <v>0.6</v>
      </c>
    </row>
    <row r="31">
      <c r="H31" s="25" t="inlineStr">
        <is>
          <t>Replatform</t>
        </is>
      </c>
      <c r="I31" s="26" t="n">
        <v>0.85</v>
      </c>
    </row>
    <row r="32">
      <c r="H32" s="25" t="inlineStr">
        <is>
          <t>Refactor</t>
        </is>
      </c>
      <c r="I32" s="26" t="n">
        <v>1</v>
      </c>
    </row>
    <row r="33">
      <c r="H33" s="25" t="inlineStr">
        <is>
          <t>Rebuild</t>
        </is>
      </c>
      <c r="I33" s="26" t="n">
        <v>1.25</v>
      </c>
    </row>
  </sheetData>
  <dataValidations count="2">
    <dataValidation sqref="B13" showDropDown="0" showInputMessage="0" showErrorMessage="0" allowBlank="0" type="list">
      <formula1>=$H$14:$H$27</formula1>
    </dataValidation>
    <dataValidation sqref="B14" showDropDown="0" showInputMessage="0" showErrorMessage="0" allowBlank="0" type="list">
      <formula1>=$H$30:$H$33</formula1>
    </dataValidation>
  </dataValidations>
  <printOptions horizontalCentered="1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J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24" customWidth="1" min="3" max="3"/>
    <col width="12" customWidth="1" min="4" max="4"/>
    <col width="10" customWidth="1" min="5" max="5"/>
    <col width="10" customWidth="1" min="6" max="6"/>
    <col width="11" customWidth="1" min="7" max="7"/>
    <col width="14" customWidth="1" min="8" max="8"/>
    <col width="10" customWidth="1" min="9" max="9"/>
    <col width="15" customWidth="1" min="10" max="10"/>
  </cols>
  <sheetData>
    <row r="1" ht="24" customHeight="1">
      <c r="A1" s="1" t="inlineStr">
        <is>
          <t>3. Equipe alocada e custo de pessoas</t>
        </is>
      </c>
    </row>
    <row r="2">
      <c r="A2" s="2" t="inlineStr">
        <is>
          <t>Componente dominante do preço. Horas = alocação semanal × semanas da PoC (Parametros!B10).</t>
        </is>
      </c>
    </row>
    <row r="4" ht="20" customHeight="1">
      <c r="A4" s="3" t="inlineStr">
        <is>
          <t>3.1 Alocação da PoC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 ht="28" customHeight="1">
      <c r="A5" s="13" t="inlineStr">
        <is>
          <t>Time</t>
        </is>
      </c>
      <c r="B5" s="13" t="inlineStr">
        <is>
          <t>Papel / Role Description</t>
        </is>
      </c>
      <c r="C5" s="13" t="inlineStr">
        <is>
          <t>Nível</t>
        </is>
      </c>
      <c r="D5" s="13" t="inlineStr">
        <is>
          <t>Aloc. (h/sem)</t>
        </is>
      </c>
      <c r="E5" s="13" t="inlineStr">
        <is>
          <t>Semanas</t>
        </is>
      </c>
      <c r="F5" s="13" t="inlineStr">
        <is>
          <t>Horas</t>
        </is>
      </c>
      <c r="G5" s="13" t="inlineStr">
        <is>
          <t>US$ / h</t>
        </is>
      </c>
      <c r="H5" s="13" t="inlineStr">
        <is>
          <t>Custo (US$)</t>
        </is>
      </c>
      <c r="I5" s="13" t="inlineStr">
        <is>
          <t>Margem %</t>
        </is>
      </c>
      <c r="J5" s="13" t="inlineStr">
        <is>
          <t>Custo c/ margem</t>
        </is>
      </c>
    </row>
    <row r="6">
      <c r="A6" s="25" t="inlineStr">
        <is>
          <t>Governance Brazil</t>
        </is>
      </c>
      <c r="B6" s="25" t="inlineStr">
        <is>
          <t>Project / Program Manager</t>
        </is>
      </c>
      <c r="C6" s="32" t="inlineStr">
        <is>
          <t>Manager</t>
        </is>
      </c>
      <c r="D6" s="8" t="n">
        <v>10</v>
      </c>
      <c r="E6" s="8" t="n">
        <v>4</v>
      </c>
      <c r="F6" s="30">
        <f>D6*E6</f>
        <v/>
      </c>
      <c r="G6" s="33">
        <f>IFERROR(VLOOKUP(C6,Parametros!$A$19:$B$24,2,FALSE),0)</f>
        <v/>
      </c>
      <c r="H6" s="34">
        <f>F6*G6</f>
        <v/>
      </c>
      <c r="I6" s="11">
        <f>Parametros!$B$13</f>
        <v/>
      </c>
      <c r="J6" s="34">
        <f>H6*(1+I6)</f>
        <v/>
      </c>
    </row>
    <row r="7">
      <c r="A7" s="25" t="inlineStr">
        <is>
          <t>01 - AVA Fabric</t>
        </is>
      </c>
      <c r="B7" s="25" t="inlineStr">
        <is>
          <t>Solution Architect da esteira (F0-F3S)</t>
        </is>
      </c>
      <c r="C7" s="32" t="inlineStr">
        <is>
          <t>Manager</t>
        </is>
      </c>
      <c r="D7" s="8" t="n">
        <v>40</v>
      </c>
      <c r="E7" s="8" t="n">
        <v>4</v>
      </c>
      <c r="F7" s="30">
        <f>D7*E7</f>
        <v/>
      </c>
      <c r="G7" s="33">
        <f>IFERROR(VLOOKUP(C7,Parametros!$A$19:$B$24,2,FALSE),0)</f>
        <v/>
      </c>
      <c r="H7" s="34">
        <f>F7*G7</f>
        <v/>
      </c>
      <c r="I7" s="11">
        <f>Parametros!$B$13</f>
        <v/>
      </c>
      <c r="J7" s="34">
        <f>H7*(1+I7)</f>
        <v/>
      </c>
    </row>
    <row r="8">
      <c r="A8" s="25" t="inlineStr">
        <is>
          <t>01 - AVA Fabric</t>
        </is>
      </c>
      <c r="B8" s="25" t="inlineStr">
        <is>
          <t>Platform engineer (runner, gates)</t>
        </is>
      </c>
      <c r="C8" s="32" t="inlineStr">
        <is>
          <t>Associate Manager</t>
        </is>
      </c>
      <c r="D8" s="8" t="n">
        <v>20</v>
      </c>
      <c r="E8" s="8" t="n">
        <v>4</v>
      </c>
      <c r="F8" s="30">
        <f>D8*E8</f>
        <v/>
      </c>
      <c r="G8" s="33">
        <f>IFERROR(VLOOKUP(C8,Parametros!$A$19:$B$24,2,FALSE),0)</f>
        <v/>
      </c>
      <c r="H8" s="34">
        <f>F8*G8</f>
        <v/>
      </c>
      <c r="I8" s="11">
        <f>Parametros!$B$13</f>
        <v/>
      </c>
      <c r="J8" s="34">
        <f>H8*(1+I8)</f>
        <v/>
      </c>
    </row>
    <row r="9">
      <c r="A9" s="25" t="inlineStr">
        <is>
          <t>02 - AS-IS (F0-F1)</t>
        </is>
      </c>
      <c r="B9" s="25" t="inlineStr">
        <is>
          <t>Analista de legado (.NET / Delphi / VB)</t>
        </is>
      </c>
      <c r="C9" s="32" t="inlineStr">
        <is>
          <t>Team Lead / Consultant</t>
        </is>
      </c>
      <c r="D9" s="8" t="n">
        <v>40</v>
      </c>
      <c r="E9" s="8" t="n">
        <v>2</v>
      </c>
      <c r="F9" s="30">
        <f>D9*E9</f>
        <v/>
      </c>
      <c r="G9" s="33">
        <f>IFERROR(VLOOKUP(C9,Parametros!$A$19:$B$24,2,FALSE),0)</f>
        <v/>
      </c>
      <c r="H9" s="34">
        <f>F9*G9</f>
        <v/>
      </c>
      <c r="I9" s="11">
        <f>Parametros!$B$13</f>
        <v/>
      </c>
      <c r="J9" s="34">
        <f>H9*(1+I9)</f>
        <v/>
      </c>
    </row>
    <row r="10">
      <c r="A10" s="25" t="inlineStr">
        <is>
          <t>03 - TO-BE (F2-F3S)</t>
        </is>
      </c>
      <c r="B10" s="25" t="inlineStr">
        <is>
          <t>Arquiteto TO-BE / SpecKit</t>
        </is>
      </c>
      <c r="C10" s="32" t="inlineStr">
        <is>
          <t>Team Lead / Consultant</t>
        </is>
      </c>
      <c r="D10" s="8" t="n">
        <v>40</v>
      </c>
      <c r="E10" s="8" t="n">
        <v>2</v>
      </c>
      <c r="F10" s="30">
        <f>D10*E10</f>
        <v/>
      </c>
      <c r="G10" s="33">
        <f>IFERROR(VLOOKUP(C10,Parametros!$A$19:$B$24,2,FALSE),0)</f>
        <v/>
      </c>
      <c r="H10" s="34">
        <f>F10*G10</f>
        <v/>
      </c>
      <c r="I10" s="11">
        <f>Parametros!$B$13</f>
        <v/>
      </c>
      <c r="J10" s="34">
        <f>H10*(1+I10)</f>
        <v/>
      </c>
    </row>
    <row r="11">
      <c r="A11" s="25" t="inlineStr">
        <is>
          <t>04 - Codegen (F4)</t>
        </is>
      </c>
      <c r="B11" s="25" t="inlineStr">
        <is>
          <t>Dev sênior .NET (build gate)</t>
        </is>
      </c>
      <c r="C11" s="32" t="inlineStr">
        <is>
          <t>Team Lead / Consultant</t>
        </is>
      </c>
      <c r="D11" s="8" t="n">
        <v>40</v>
      </c>
      <c r="E11" s="8" t="n">
        <v>2</v>
      </c>
      <c r="F11" s="30">
        <f>D11*E11</f>
        <v/>
      </c>
      <c r="G11" s="33">
        <f>IFERROR(VLOOKUP(C11,Parametros!$A$19:$B$24,2,FALSE),0)</f>
        <v/>
      </c>
      <c r="H11" s="34">
        <f>F11*G11</f>
        <v/>
      </c>
      <c r="I11" s="11">
        <f>Parametros!$B$13</f>
        <v/>
      </c>
      <c r="J11" s="34">
        <f>H11*(1+I11)</f>
        <v/>
      </c>
    </row>
    <row r="12">
      <c r="A12" s="25" t="inlineStr">
        <is>
          <t>04 - Codegen (F4)</t>
        </is>
      </c>
      <c r="B12" s="25" t="inlineStr">
        <is>
          <t>Dev Angular</t>
        </is>
      </c>
      <c r="C12" s="32" t="inlineStr">
        <is>
          <t>Senior Analyst</t>
        </is>
      </c>
      <c r="D12" s="8" t="n">
        <v>20</v>
      </c>
      <c r="E12" s="8" t="n">
        <v>1</v>
      </c>
      <c r="F12" s="30">
        <f>D12*E12</f>
        <v/>
      </c>
      <c r="G12" s="33">
        <f>IFERROR(VLOOKUP(C12,Parametros!$A$19:$B$24,2,FALSE),0)</f>
        <v/>
      </c>
      <c r="H12" s="34">
        <f>F12*G12</f>
        <v/>
      </c>
      <c r="I12" s="11">
        <f>Parametros!$B$13</f>
        <v/>
      </c>
      <c r="J12" s="34">
        <f>H12*(1+I12)</f>
        <v/>
      </c>
    </row>
    <row r="13">
      <c r="A13" s="25" t="inlineStr">
        <is>
          <t>05 - QA (F5)</t>
        </is>
      </c>
      <c r="B13" s="25" t="inlineStr">
        <is>
          <t>QA engineer</t>
        </is>
      </c>
      <c r="C13" s="32" t="inlineStr">
        <is>
          <t>Senior Analyst</t>
        </is>
      </c>
      <c r="D13" s="8" t="n">
        <v>20</v>
      </c>
      <c r="E13" s="8" t="n">
        <v>1</v>
      </c>
      <c r="F13" s="30">
        <f>D13*E13</f>
        <v/>
      </c>
      <c r="G13" s="33">
        <f>IFERROR(VLOOKUP(C13,Parametros!$A$19:$B$24,2,FALSE),0)</f>
        <v/>
      </c>
      <c r="H13" s="34">
        <f>F13*G13</f>
        <v/>
      </c>
      <c r="I13" s="11">
        <f>Parametros!$B$13</f>
        <v/>
      </c>
      <c r="J13" s="34">
        <f>H13*(1+I13)</f>
        <v/>
      </c>
    </row>
    <row r="14">
      <c r="A14" s="25" t="inlineStr">
        <is>
          <t>06 - DevOps (F6)</t>
        </is>
      </c>
      <c r="B14" s="25" t="inlineStr">
        <is>
          <t>DevOps / IaC (Terraform)</t>
        </is>
      </c>
      <c r="C14" s="32" t="inlineStr">
        <is>
          <t>Senior Analyst</t>
        </is>
      </c>
      <c r="D14" s="8" t="n">
        <v>20</v>
      </c>
      <c r="E14" s="8" t="n">
        <v>1</v>
      </c>
      <c r="F14" s="30">
        <f>D14*E14</f>
        <v/>
      </c>
      <c r="G14" s="33">
        <f>IFERROR(VLOOKUP(C14,Parametros!$A$19:$B$24,2,FALSE),0)</f>
        <v/>
      </c>
      <c r="H14" s="34">
        <f>F14*G14</f>
        <v/>
      </c>
      <c r="I14" s="11">
        <f>Parametros!$B$13</f>
        <v/>
      </c>
      <c r="J14" s="34">
        <f>H14*(1+I14)</f>
        <v/>
      </c>
    </row>
    <row r="15">
      <c r="A15" s="25" t="inlineStr">
        <is>
          <t>07 - Security (F7)</t>
        </is>
      </c>
      <c r="B15" s="25" t="inlineStr">
        <is>
          <t>Security &amp; compliance (LGPD / OWASP)</t>
        </is>
      </c>
      <c r="C15" s="32" t="inlineStr">
        <is>
          <t>Associate Manager</t>
        </is>
      </c>
      <c r="D15" s="8" t="n">
        <v>20</v>
      </c>
      <c r="E15" s="8" t="n">
        <v>3</v>
      </c>
      <c r="F15" s="30">
        <f>D15*E15</f>
        <v/>
      </c>
      <c r="G15" s="33">
        <f>IFERROR(VLOOKUP(C15,Parametros!$A$19:$B$24,2,FALSE),0)</f>
        <v/>
      </c>
      <c r="H15" s="34">
        <f>F15*G15</f>
        <v/>
      </c>
      <c r="I15" s="11">
        <f>Parametros!$B$13</f>
        <v/>
      </c>
      <c r="J15" s="34">
        <f>H15*(1+I15)</f>
        <v/>
      </c>
    </row>
    <row r="16">
      <c r="A16" s="25" t="inlineStr">
        <is>
          <t>AVA Fabric Factory</t>
        </is>
      </c>
      <c r="B16" s="25" t="inlineStr">
        <is>
          <t>Execução do pipeline — 110 agentes, 9 fases</t>
        </is>
      </c>
      <c r="C16" s="32" t="inlineStr">
        <is>
          <t>Shared Service - Onshore</t>
        </is>
      </c>
      <c r="D16" s="8" t="n">
        <v>40</v>
      </c>
      <c r="E16" s="8" t="n">
        <v>4</v>
      </c>
      <c r="F16" s="30">
        <f>D16*E16</f>
        <v/>
      </c>
      <c r="G16" s="33">
        <f>IFERROR(VLOOKUP(C16,Parametros!$A$19:$B$24,2,FALSE),0)</f>
        <v/>
      </c>
      <c r="H16" s="34">
        <f>F16*G16</f>
        <v/>
      </c>
      <c r="I16" s="11">
        <f>Parametros!$B$13</f>
        <v/>
      </c>
      <c r="J16" s="34">
        <f>H16*(1+I16)</f>
        <v/>
      </c>
    </row>
    <row r="17">
      <c r="A17" s="18" t="inlineStr">
        <is>
          <t>TOTAL</t>
        </is>
      </c>
      <c r="B17" s="19">
        <f>COUNTA(B6:B16)&amp;" papéis · PoC de "&amp;TEXT(Parametros!$B$10,"0")&amp;" semanas"</f>
        <v/>
      </c>
      <c r="C17" s="19" t="n"/>
      <c r="D17" s="19" t="n"/>
      <c r="E17" s="19" t="n"/>
      <c r="F17" s="35">
        <f>SUM(F6:F16)</f>
        <v/>
      </c>
      <c r="G17" s="19" t="n"/>
      <c r="H17" s="36">
        <f>SUM(H6:H16)</f>
        <v/>
      </c>
      <c r="I17" s="37">
        <f>IFERROR(J17/H17-1,0)</f>
        <v/>
      </c>
      <c r="J17" s="36">
        <f>SUM(J6:J16)</f>
        <v/>
      </c>
    </row>
    <row r="19" ht="20" customHeight="1">
      <c r="A19" s="3" t="inlineStr">
        <is>
          <t>3.2 Indicadores da equipe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6" t="inlineStr">
        <is>
          <t>FTE médio na PoC</t>
        </is>
      </c>
      <c r="B20" s="17">
        <f>IFERROR(Equipe!$F$17/(Parametros!$B$10*Parametros!$B$11),0)</f>
        <v/>
      </c>
      <c r="C20" s="28" t="inlineStr">
        <is>
          <t>Horas totais ÷ (semanas × horas por semana)</t>
        </is>
      </c>
    </row>
    <row r="21">
      <c r="A21" s="6" t="inlineStr">
        <is>
          <t>Custo médio por hora (com margem)</t>
        </is>
      </c>
      <c r="B21" s="33">
        <f>IFERROR(Equipe!$J$17/Equipe!$F$17,0)</f>
        <v/>
      </c>
      <c r="C21" s="28" t="inlineStr">
        <is>
          <t>Taxa efetiva de venda da hora</t>
        </is>
      </c>
    </row>
    <row r="22">
      <c r="A22" s="6" t="inlineStr">
        <is>
          <t>Horas recomendadas pela volumetria</t>
        </is>
      </c>
      <c r="B22" s="30">
        <f>Volumetria!$B$19</f>
        <v/>
      </c>
      <c r="C22" s="28" t="inlineStr">
        <is>
          <t>Vem da aba Volumetria (baseline 800 h × fator de esforço)</t>
        </is>
      </c>
    </row>
    <row r="23">
      <c r="A23" s="6" t="inlineStr">
        <is>
          <t>Aderência (alocado ÷ recomendado)</t>
        </is>
      </c>
      <c r="B23" s="31">
        <f>IFERROR(Equipe!$F$17/Volumetria!$B$19,0)</f>
        <v/>
      </c>
      <c r="C23" s="28">
        <f>IF(Equipe!$F$17&gt;=Volumetria!$B$19,"OK — alocação cobre o dimensionamento","ATENÇÃO — alocação abaixo do recomendado: reduza escopo ou aumente o time")</f>
        <v/>
      </c>
    </row>
    <row r="24">
      <c r="A24" s="6" t="inlineStr">
        <is>
          <t>FTE necessário para cobrir o recomendado</t>
        </is>
      </c>
      <c r="B24" s="17">
        <f>IFERROR(Volumetria!$B$19/(Parametros!$B$10*Parametros!$B$11),0)</f>
        <v/>
      </c>
      <c r="C24" s="28" t="inlineStr">
        <is>
          <t>Quantas pessoas em tempo integral o dimensionamento pediria no mesmo prazo</t>
        </is>
      </c>
    </row>
  </sheetData>
  <dataValidations count="2">
    <dataValidation sqref="C6 C7 C8 C9 C10 C11 C12 C13 C14 C15 C16" showDropDown="0" showInputMessage="0" showErrorMessage="0" allowBlank="1" type="list">
      <formula1>"Manager,Associate Manager,Team Lead / Consultant,Senior Analyst,Analyst,Shared Service - Onshore"</formula1>
    </dataValidation>
    <dataValidation sqref="I6 I7 I8 I9 I10 I11 I12 I13 I14 I15 I16" showDropDown="0" showInputMessage="0" showErrorMessage="0" allowBlank="1" type="list">
      <formula1>"0.10,0.15,0.20,0.25"</formula1>
    </dataValidation>
  </dataValidations>
  <printOptions horizontalCentered="1"/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H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4" customWidth="1" min="3" max="3"/>
    <col width="10" customWidth="1" min="4" max="4"/>
    <col width="14" customWidth="1" min="5" max="5"/>
    <col width="10" customWidth="1" min="6" max="6"/>
    <col width="15" customWidth="1" min="7" max="7"/>
    <col width="40" customWidth="1" min="8" max="8"/>
  </cols>
  <sheetData>
    <row r="1" ht="24" customHeight="1">
      <c r="A1" s="1" t="inlineStr">
        <is>
          <t>4. Infraestrutura Azure durante a PoC</t>
        </is>
      </c>
    </row>
    <row r="2">
      <c r="A2" s="2" t="inlineStr">
        <is>
          <t>Repassada a custo. Meses = semanas da PoC ÷ 4,345.</t>
        </is>
      </c>
    </row>
    <row r="4" ht="20" customHeight="1">
      <c r="A4" s="3" t="inlineStr">
        <is>
          <t>4.1 Itens de infraestrutura</t>
        </is>
      </c>
      <c r="B4" s="3" t="n"/>
      <c r="C4" s="3" t="n"/>
      <c r="D4" s="3" t="n"/>
      <c r="E4" s="3" t="n"/>
      <c r="F4" s="3" t="n"/>
      <c r="G4" s="3" t="n"/>
    </row>
    <row r="5" ht="28" customHeight="1">
      <c r="A5" s="13" t="inlineStr">
        <is>
          <t>Item</t>
        </is>
      </c>
      <c r="B5" s="13" t="inlineStr">
        <is>
          <t>Qtd</t>
        </is>
      </c>
      <c r="C5" s="13" t="inlineStr">
        <is>
          <t>US$ / mês</t>
        </is>
      </c>
      <c r="D5" s="13" t="inlineStr">
        <is>
          <t>Meses</t>
        </is>
      </c>
      <c r="E5" s="13" t="inlineStr">
        <is>
          <t>Custo (US$)</t>
        </is>
      </c>
      <c r="F5" s="13" t="inlineStr">
        <is>
          <t>Margem %</t>
        </is>
      </c>
      <c r="G5" s="13" t="inlineStr">
        <is>
          <t>Custo c/ margem</t>
        </is>
      </c>
    </row>
    <row r="6">
      <c r="A6" s="25" t="inlineStr">
        <is>
          <t>Pipeline runner VM (Standard D8s v5, ~730 h/mês)</t>
        </is>
      </c>
      <c r="B6" s="8" t="n">
        <v>1</v>
      </c>
      <c r="C6" s="14" t="n">
        <v>280</v>
      </c>
      <c r="D6" s="17">
        <f>Parametros!$B$10/4.345</f>
        <v/>
      </c>
      <c r="E6" s="34">
        <f>B6*C6*D6</f>
        <v/>
      </c>
      <c r="F6" s="11">
        <f>Parametros!$B$13</f>
        <v/>
      </c>
      <c r="G6" s="34">
        <f>E6*(1+F6)</f>
        <v/>
      </c>
      <c r="H6" s="28" t="inlineStr">
        <is>
          <t>Executa a esteira de agentes</t>
        </is>
      </c>
    </row>
    <row r="7">
      <c r="A7" s="25" t="inlineStr">
        <is>
          <t>Ambiente DEV do bounded context piloto</t>
        </is>
      </c>
      <c r="B7" s="8" t="n">
        <v>1</v>
      </c>
      <c r="C7" s="14" t="n">
        <v>65</v>
      </c>
      <c r="D7" s="17">
        <f>Parametros!$B$10/4.345</f>
        <v/>
      </c>
      <c r="E7" s="34">
        <f>B7*C7*D7</f>
        <v/>
      </c>
      <c r="F7" s="11">
        <f>Parametros!$B$13</f>
        <v/>
      </c>
      <c r="G7" s="34">
        <f>E7*(1+F7)</f>
        <v/>
      </c>
      <c r="H7" s="28" t="inlineStr">
        <is>
          <t>App Service + SQL + Redis (dimensionamento DEV)</t>
        </is>
      </c>
    </row>
    <row r="8">
      <c r="A8" s="25" t="inlineStr">
        <is>
          <t>Serviços compartilhados (ACR + Log Analytics)</t>
        </is>
      </c>
      <c r="B8" s="8" t="n">
        <v>1</v>
      </c>
      <c r="C8" s="14" t="n">
        <v>45</v>
      </c>
      <c r="D8" s="17">
        <f>Parametros!$B$10/4.345</f>
        <v/>
      </c>
      <c r="E8" s="34">
        <f>B8*C8*D8</f>
        <v/>
      </c>
      <c r="F8" s="11">
        <f>Parametros!$B$13</f>
        <v/>
      </c>
      <c r="G8" s="34">
        <f>E8*(1+F8)</f>
        <v/>
      </c>
      <c r="H8" s="28" t="inlineStr">
        <is>
          <t>Registry e workspace de logs</t>
        </is>
      </c>
    </row>
    <row r="9">
      <c r="A9" s="25" t="inlineStr">
        <is>
          <t>Storage de artefatos e egress</t>
        </is>
      </c>
      <c r="B9" s="8" t="n">
        <v>1</v>
      </c>
      <c r="C9" s="14" t="n">
        <v>10</v>
      </c>
      <c r="D9" s="17">
        <f>Parametros!$B$10/4.345</f>
        <v/>
      </c>
      <c r="E9" s="34">
        <f>B9*C9*D9</f>
        <v/>
      </c>
      <c r="F9" s="11">
        <f>Parametros!$B$13</f>
        <v/>
      </c>
      <c r="G9" s="34">
        <f>E9*(1+F9)</f>
        <v/>
      </c>
      <c r="H9" s="28" t="inlineStr">
        <is>
          <t>232 artefatos / 82 MB no run de referência</t>
        </is>
      </c>
    </row>
    <row r="10">
      <c r="A10" s="18" t="inlineStr">
        <is>
          <t>TOTAL INFRAESTRUTURA</t>
        </is>
      </c>
      <c r="B10" s="19" t="n"/>
      <c r="C10" s="19" t="n"/>
      <c r="D10" s="19" t="n"/>
      <c r="E10" s="36">
        <f>SUM(E6:E9)</f>
        <v/>
      </c>
      <c r="F10" s="19" t="n"/>
      <c r="G10" s="36">
        <f>SUM(G6:G9)</f>
        <v/>
      </c>
    </row>
    <row r="12">
      <c r="A12" s="6" t="inlineStr">
        <is>
          <t>Referência do programa completo (fora da PoC)</t>
        </is>
      </c>
      <c r="B12" s="33" t="n">
        <v>1410</v>
      </c>
      <c r="H12" s="28" t="inlineStr">
        <is>
          <t>US$/mês com DEV + STG + PROD + compartilhados = US$ 16.920/ano (azure-infra-estimator do run real)</t>
        </is>
      </c>
    </row>
  </sheetData>
  <dataValidations count="1">
    <dataValidation sqref="F6 F7 F8 F9" showDropDown="0" showInputMessage="0" showErrorMessage="0" allowBlank="1" type="list">
      <formula1>"0.10,0.15,0.20,0.25"</formula1>
    </dataValidation>
  </dataValidations>
  <printOptions horizontalCentered="1"/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J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5" customWidth="1" min="3" max="3"/>
    <col width="15" customWidth="1" min="4" max="4"/>
    <col width="13" customWidth="1" min="5" max="5"/>
    <col width="13" customWidth="1" min="6" max="6"/>
    <col width="14" customWidth="1" min="7" max="7"/>
    <col width="10" customWidth="1" min="8" max="8"/>
    <col width="15" customWidth="1" min="9" max="9"/>
    <col width="34" customWidth="1" min="10" max="10"/>
  </cols>
  <sheetData>
    <row r="1" ht="24" customHeight="1">
      <c r="A1" s="1" t="inlineStr">
        <is>
          <t>5. Custo do modelo de IA</t>
        </is>
      </c>
    </row>
    <row r="2">
      <c r="A2" s="2" t="inlineStr">
        <is>
          <t>Bottom-up por fase, a partir de tokens medidos. F4 usa a quantidade de tasks da aba Volumetria.</t>
        </is>
      </c>
    </row>
    <row r="4" ht="20" customHeight="1">
      <c r="A4" s="3" t="inlineStr">
        <is>
          <t>5.1 Consumo por fase</t>
        </is>
      </c>
      <c r="B4" s="3" t="n"/>
      <c r="C4" s="3" t="n"/>
      <c r="D4" s="3" t="n"/>
      <c r="E4" s="3" t="n"/>
      <c r="F4" s="3" t="n"/>
      <c r="G4" s="3" t="n"/>
      <c r="H4" s="3" t="n"/>
      <c r="I4" s="3" t="n"/>
    </row>
    <row r="5" ht="28" customHeight="1">
      <c r="A5" s="13" t="inlineStr">
        <is>
          <t>Fase</t>
        </is>
      </c>
      <c r="B5" s="13" t="inlineStr">
        <is>
          <t>Execuções / Tasks</t>
        </is>
      </c>
      <c r="C5" s="13" t="inlineStr">
        <is>
          <t>Tokens entrada (médio)</t>
        </is>
      </c>
      <c r="D5" s="13" t="inlineStr">
        <is>
          <t>Tokens saída (médio)</t>
        </is>
      </c>
      <c r="E5" s="13" t="inlineStr">
        <is>
          <t>Custo entrada</t>
        </is>
      </c>
      <c r="F5" s="13" t="inlineStr">
        <is>
          <t>Custo saída</t>
        </is>
      </c>
      <c r="G5" s="13" t="inlineStr">
        <is>
          <t>Custo (US$)</t>
        </is>
      </c>
      <c r="H5" s="13" t="inlineStr">
        <is>
          <t>Margem %</t>
        </is>
      </c>
      <c r="I5" s="13" t="inlineStr">
        <is>
          <t>Custo c/ margem</t>
        </is>
      </c>
    </row>
    <row r="6">
      <c r="A6" s="6" t="inlineStr">
        <is>
          <t>F0-F1 · AS-IS Diagnostic</t>
        </is>
      </c>
      <c r="B6" s="8" t="n">
        <v>8</v>
      </c>
      <c r="C6" s="8" t="n">
        <v>700000</v>
      </c>
      <c r="D6" s="8" t="n">
        <v>60000</v>
      </c>
      <c r="E6" s="34">
        <f>B6*C6/1000000*Parametros!$B$38</f>
        <v/>
      </c>
      <c r="F6" s="34">
        <f>B6*D6/1000000*Parametros!$B$39</f>
        <v/>
      </c>
      <c r="G6" s="34">
        <f>E6+F6</f>
        <v/>
      </c>
      <c r="H6" s="11">
        <f>Parametros!$B$13</f>
        <v/>
      </c>
      <c r="I6" s="34">
        <f>G6*(1+H6)</f>
        <v/>
      </c>
      <c r="J6" s="28" t="inlineStr">
        <is>
          <t>7 agentes + extração AST</t>
        </is>
      </c>
    </row>
    <row r="7">
      <c r="A7" s="6" t="inlineStr">
        <is>
          <t>F2 · TO-BE Architecture</t>
        </is>
      </c>
      <c r="B7" s="8" t="n">
        <v>3</v>
      </c>
      <c r="C7" s="8" t="n">
        <v>800000</v>
      </c>
      <c r="D7" s="8" t="n">
        <v>90000</v>
      </c>
      <c r="E7" s="34">
        <f>B7*C7/1000000*Parametros!$B$38</f>
        <v/>
      </c>
      <c r="F7" s="34">
        <f>B7*D7/1000000*Parametros!$B$39</f>
        <v/>
      </c>
      <c r="G7" s="34">
        <f>E7+F7</f>
        <v/>
      </c>
      <c r="H7" s="11">
        <f>Parametros!$B$13</f>
        <v/>
      </c>
      <c r="I7" s="34">
        <f>G7*(1+H7)</f>
        <v/>
      </c>
      <c r="J7" s="28" t="inlineStr">
        <is>
          <t>3 orquestradores</t>
        </is>
      </c>
    </row>
    <row r="8">
      <c r="A8" s="6" t="inlineStr">
        <is>
          <t>F3 · Protótipo</t>
        </is>
      </c>
      <c r="B8" s="8" t="n">
        <v>1</v>
      </c>
      <c r="C8" s="8" t="n">
        <v>400000</v>
      </c>
      <c r="D8" s="8" t="n">
        <v>60000</v>
      </c>
      <c r="E8" s="34">
        <f>B8*C8/1000000*Parametros!$B$38</f>
        <v/>
      </c>
      <c r="F8" s="34">
        <f>B8*D8/1000000*Parametros!$B$39</f>
        <v/>
      </c>
      <c r="G8" s="34">
        <f>E8+F8</f>
        <v/>
      </c>
      <c r="H8" s="11">
        <f>Parametros!$B$13</f>
        <v/>
      </c>
      <c r="I8" s="34">
        <f>G8*(1+H8)</f>
        <v/>
      </c>
      <c r="J8" s="28" t="inlineStr">
        <is>
          <t>1 agente</t>
        </is>
      </c>
    </row>
    <row r="9">
      <c r="A9" s="6" t="inlineStr">
        <is>
          <t>F3S · SpecKit</t>
        </is>
      </c>
      <c r="B9" s="8" t="n">
        <v>15</v>
      </c>
      <c r="C9" s="8" t="n">
        <v>500000</v>
      </c>
      <c r="D9" s="8" t="n">
        <v>90000</v>
      </c>
      <c r="E9" s="34">
        <f>B9*C9/1000000*Parametros!$B$38</f>
        <v/>
      </c>
      <c r="F9" s="34">
        <f>B9*D9/1000000*Parametros!$B$39</f>
        <v/>
      </c>
      <c r="G9" s="34">
        <f>E9+F9</f>
        <v/>
      </c>
      <c r="H9" s="11">
        <f>Parametros!$B$13</f>
        <v/>
      </c>
      <c r="I9" s="34">
        <f>G9*(1+H9)</f>
        <v/>
      </c>
      <c r="J9" s="28" t="inlineStr">
        <is>
          <t>constitution + specs + plans + tasks + compliance</t>
        </is>
      </c>
    </row>
    <row r="10">
      <c r="A10" s="6" t="inlineStr">
        <is>
          <t>F4 · Codegen (BC piloto)</t>
        </is>
      </c>
      <c r="B10" s="30">
        <f>Volumetria!$B$26</f>
        <v/>
      </c>
      <c r="C10" s="8" t="n">
        <v>239619</v>
      </c>
      <c r="D10" s="8" t="n">
        <v>57345</v>
      </c>
      <c r="E10" s="34">
        <f>B10*C10/1000000*Parametros!$B$38</f>
        <v/>
      </c>
      <c r="F10" s="34">
        <f>B10*D10/1000000*Parametros!$B$39</f>
        <v/>
      </c>
      <c r="G10" s="34">
        <f>E10+F10</f>
        <v/>
      </c>
      <c r="H10" s="11">
        <f>Parametros!$B$13</f>
        <v/>
      </c>
      <c r="I10" s="34">
        <f>G10*(1+H10)</f>
        <v/>
      </c>
      <c r="J10" s="28" t="inlineStr">
        <is>
          <t>MEDIDO: 239.619 in / 45–69k out por task</t>
        </is>
      </c>
    </row>
    <row r="11">
      <c r="A11" s="18" t="inlineStr">
        <is>
          <t>Subtotal</t>
        </is>
      </c>
      <c r="B11" s="19" t="n"/>
      <c r="C11" s="19" t="n"/>
      <c r="D11" s="19" t="n"/>
      <c r="E11" s="19" t="n"/>
      <c r="F11" s="19" t="n"/>
      <c r="G11" s="36">
        <f>SUM(G6:G10)</f>
        <v/>
      </c>
      <c r="H11" s="19" t="n"/>
      <c r="I11" s="36">
        <f>SUM(I6:I10)</f>
        <v/>
      </c>
    </row>
    <row r="12">
      <c r="A12" s="6" t="inlineStr">
        <is>
          <t>Buffer de re-execução (%)</t>
        </is>
      </c>
      <c r="B12" s="11" t="n">
        <v>0.3</v>
      </c>
      <c r="I12" s="34">
        <f>I11*B12</f>
        <v/>
      </c>
      <c r="J12" s="28" t="inlineStr">
        <is>
          <t>Gates reprovados, reprocessamento de fase e remediação de build</t>
        </is>
      </c>
    </row>
    <row r="13">
      <c r="A13" s="18" t="inlineStr">
        <is>
          <t>Custo de IA calculado (bottom-up)</t>
        </is>
      </c>
      <c r="I13" s="36">
        <f>I11+I12</f>
        <v/>
      </c>
    </row>
    <row r="14">
      <c r="A14" s="6" t="inlineStr">
        <is>
          <t>Provisão mínima adotada na proposta</t>
        </is>
      </c>
      <c r="I14" s="34">
        <f>Parametros!$B$15*(1+Parametros!$B$13)</f>
        <v/>
      </c>
      <c r="J14" s="28" t="inlineStr">
        <is>
          <t>Parametros!B15 (US$ 600) — provisão conservadora do slide 9</t>
        </is>
      </c>
    </row>
    <row r="15">
      <c r="A15" s="38" t="inlineStr">
        <is>
          <t>CUSTO DE IA ADOTADO  (maior entre calculado e provisão)</t>
        </is>
      </c>
      <c r="B15" s="39" t="n"/>
      <c r="C15" s="39" t="n"/>
      <c r="D15" s="39" t="n"/>
      <c r="E15" s="39" t="n"/>
      <c r="F15" s="39" t="n"/>
      <c r="G15" s="39" t="n"/>
      <c r="H15" s="39" t="n"/>
      <c r="I15" s="40">
        <f>MAX(I13,I14)</f>
        <v/>
      </c>
    </row>
    <row r="17">
      <c r="A17" s="6" t="inlineStr">
        <is>
          <t>Referência medida</t>
        </is>
      </c>
      <c r="B17" s="33">
        <f>IFERROR(G10/B10,0)</f>
        <v/>
      </c>
      <c r="J17" s="28" t="inlineStr">
        <is>
          <t>Custo por task de codegen — o run real mediu US$ 1,58</t>
        </is>
      </c>
    </row>
    <row r="18">
      <c r="A18" s="6" t="inlineStr">
        <is>
          <t>Migração completa (todas as tasks)</t>
        </is>
      </c>
      <c r="B18" s="33">
        <f>IFERROR(G10/B10*Volumetria!$B$22,0)</f>
        <v/>
      </c>
      <c r="J18" s="28" t="inlineStr">
        <is>
          <t>Projeção só de codegen para o programa inteiro — fora do escopo da PoC</t>
        </is>
      </c>
    </row>
  </sheetData>
  <dataValidations count="1">
    <dataValidation sqref="H6 H7 H8 H9 H10" showDropDown="0" showInputMessage="0" showErrorMessage="0" allowBlank="1" type="list">
      <formula1>"0.10,0.15,0.20,0.25"</formula1>
    </dataValidation>
  </dataValidations>
  <printOptions horizontalCentered="1"/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tabColor rgb="00E8500E"/>
    <outlinePr summaryBelow="1" summaryRight="1"/>
    <pageSetUpPr/>
  </sheetPr>
  <dimension ref="A1:E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16" customWidth="1" min="3" max="3"/>
    <col width="16" customWidth="1" min="4" max="4"/>
    <col width="50" customWidth="1" min="5" max="5"/>
  </cols>
  <sheetData>
    <row r="1" ht="24" customHeight="1">
      <c r="A1" s="1" t="inlineStr">
        <is>
          <t>6. Resumo — Custo total da PoC</t>
        </is>
      </c>
    </row>
    <row r="2">
      <c r="A2" s="2" t="inlineStr">
        <is>
          <t>Consolida pessoas + infraestrutura + IA, aplica contingência e converte para BRL.</t>
        </is>
      </c>
    </row>
    <row r="4" ht="20" customHeight="1">
      <c r="A4" s="3" t="inlineStr">
        <is>
          <t>6.1 Escopo dimensionado</t>
        </is>
      </c>
      <c r="B4" s="3" t="n"/>
      <c r="C4" s="3" t="n"/>
      <c r="D4" s="3" t="n"/>
    </row>
    <row r="5">
      <c r="A5" s="6" t="inlineStr">
        <is>
          <t>Semanas da PoC</t>
        </is>
      </c>
      <c r="B5" s="30">
        <f>Parametros!$B$10</f>
        <v/>
      </c>
    </row>
    <row r="6">
      <c r="A6" s="6" t="inlineStr">
        <is>
          <t>Horas totais alocadas</t>
        </is>
      </c>
      <c r="B6" s="30">
        <f>Equipe!$F$17</f>
        <v/>
      </c>
    </row>
    <row r="7">
      <c r="A7" s="6" t="inlineStr">
        <is>
          <t>FTE médio</t>
        </is>
      </c>
      <c r="B7" s="17">
        <f>IFERROR(Equipe!$F$17/(Parametros!$B$10*Parametros!$B$11),0)</f>
        <v/>
      </c>
    </row>
    <row r="8">
      <c r="A8" s="6" t="inlineStr">
        <is>
          <t>Papéis alocados</t>
        </is>
      </c>
      <c r="B8" s="30">
        <f>COUNTA(Equipe!B6:B16)</f>
        <v/>
      </c>
    </row>
    <row r="9">
      <c r="A9" s="6" t="inlineStr">
        <is>
          <t>Combined Base Factor da volumetria</t>
        </is>
      </c>
      <c r="B9" s="17">
        <f>Volumetria!$B$17</f>
        <v/>
      </c>
    </row>
    <row r="10">
      <c r="A10" s="6" t="inlineStr">
        <is>
          <t>Horas recomendadas pela volumetria</t>
        </is>
      </c>
      <c r="B10" s="30">
        <f>Volumetria!$B$19</f>
        <v/>
      </c>
    </row>
    <row r="11">
      <c r="A11" s="6" t="inlineStr">
        <is>
          <t>Tasks de codegen na PoC (F4)</t>
        </is>
      </c>
      <c r="B11" s="30">
        <f>Volumetria!$B$26</f>
        <v/>
      </c>
    </row>
    <row r="13" ht="20" customHeight="1">
      <c r="A13" s="3" t="inlineStr">
        <is>
          <t>6.2 Composição do custo</t>
        </is>
      </c>
      <c r="B13" s="3" t="n"/>
      <c r="C13" s="3" t="n"/>
      <c r="D13" s="3" t="n"/>
      <c r="E13" s="3" t="n"/>
    </row>
    <row r="14" ht="28" customHeight="1">
      <c r="A14" s="13" t="inlineStr">
        <is>
          <t>Componente</t>
        </is>
      </c>
      <c r="B14" s="13" t="inlineStr">
        <is>
          <t>Custo com margem (US$)</t>
        </is>
      </c>
      <c r="C14" s="13" t="inlineStr">
        <is>
          <t>% do subtotal</t>
        </is>
      </c>
      <c r="D14" s="13" t="inlineStr">
        <is>
          <t>Custo (BRL)</t>
        </is>
      </c>
      <c r="E14" s="13" t="inlineStr">
        <is>
          <t>Base de cálculo</t>
        </is>
      </c>
    </row>
    <row r="15">
      <c r="A15" s="6" t="inlineStr">
        <is>
          <t>Pessoas — equipe alocada</t>
        </is>
      </c>
      <c r="B15" s="34">
        <f>Equipe!$J$17</f>
        <v/>
      </c>
      <c r="C15" s="41">
        <f>IFERROR(B15/$B$18,0)</f>
        <v/>
      </c>
      <c r="D15" s="42">
        <f>B15*Parametros!$B$12</f>
        <v/>
      </c>
      <c r="E15" s="43" t="inlineStr">
        <is>
          <t>Horas × rate card por nível (aba Equipe)</t>
        </is>
      </c>
    </row>
    <row r="16">
      <c r="A16" s="6" t="inlineStr">
        <is>
          <t>Infraestrutura Azure</t>
        </is>
      </c>
      <c r="B16" s="34">
        <f>Infraestrutura!$G$10</f>
        <v/>
      </c>
      <c r="C16" s="41">
        <f>IFERROR(B16/$B$18,0)</f>
        <v/>
      </c>
      <c r="D16" s="42">
        <f>B16*Parametros!$B$12</f>
        <v/>
      </c>
      <c r="E16" s="43" t="inlineStr">
        <is>
          <t>Runner + DEV do BC piloto + compartilhados + storage (aba Infraestrutura)</t>
        </is>
      </c>
    </row>
    <row r="17">
      <c r="A17" s="6" t="inlineStr">
        <is>
          <t>Modelo de IA</t>
        </is>
      </c>
      <c r="B17" s="34">
        <f>IA!$I$15</f>
        <v/>
      </c>
      <c r="C17" s="41">
        <f>IFERROR(B17/$B$18,0)</f>
        <v/>
      </c>
      <c r="D17" s="42">
        <f>B17*Parametros!$B$12</f>
        <v/>
      </c>
      <c r="E17" s="43" t="inlineStr">
        <is>
          <t>Tokens por fase, com buffer de re-execução (aba IA)</t>
        </is>
      </c>
    </row>
    <row r="18">
      <c r="A18" s="18" t="inlineStr">
        <is>
          <t>SUBTOTAL</t>
        </is>
      </c>
      <c r="B18" s="36">
        <f>SUM(B15:B17)</f>
        <v/>
      </c>
      <c r="C18" s="20">
        <f>1</f>
        <v/>
      </c>
      <c r="D18" s="44">
        <f>B18*Parametros!$B$12</f>
        <v/>
      </c>
      <c r="E18" s="19" t="n"/>
    </row>
    <row r="19">
      <c r="A19" s="6" t="inlineStr">
        <is>
          <t>Contingência</t>
        </is>
      </c>
      <c r="B19" s="34">
        <f>B18*Parametros!$B$14</f>
        <v/>
      </c>
      <c r="C19" s="31">
        <f>Parametros!$B$14</f>
        <v/>
      </c>
      <c r="D19" s="42">
        <f>B19*Parametros!$B$12</f>
        <v/>
      </c>
      <c r="E19" s="43" t="inlineStr">
        <is>
          <t>Re-execução de uma fase e remediação do build gate no BC piloto (risco Beta do F4)</t>
        </is>
      </c>
    </row>
    <row r="20" ht="24" customHeight="1">
      <c r="A20" s="45" t="inlineStr">
        <is>
          <t>PREÇO TOTAL DA PoC</t>
        </is>
      </c>
      <c r="B20" s="46">
        <f>B18+B19</f>
        <v/>
      </c>
      <c r="C20" s="39" t="n"/>
      <c r="D20" s="47">
        <f>B20*Parametros!$B$12</f>
        <v/>
      </c>
      <c r="E20" s="39" t="n"/>
    </row>
    <row r="22" ht="20" customHeight="1">
      <c r="A22" s="3" t="inlineStr">
        <is>
          <t>6.3 Indicadores</t>
        </is>
      </c>
      <c r="B22" s="3" t="n"/>
      <c r="C22" s="3" t="n"/>
      <c r="D22" s="3" t="n"/>
      <c r="E22" s="3" t="n"/>
    </row>
    <row r="23">
      <c r="A23" s="6" t="inlineStr">
        <is>
          <t>Preço por hora alocada (US$)</t>
        </is>
      </c>
      <c r="B23" s="33">
        <f>IFERROR(Resumo!$B$20/Equipe!$F$17,0)</f>
        <v/>
      </c>
      <c r="E23" s="43" t="inlineStr">
        <is>
          <t>Taxa efetiva de venda, já com infraestrutura, IA e contingência</t>
        </is>
      </c>
    </row>
    <row r="24">
      <c r="A24" s="6" t="inlineStr">
        <is>
          <t>Preço por semana (US$)</t>
        </is>
      </c>
      <c r="B24" s="33">
        <f>IFERROR(Resumo!$B$20/Parametros!$B$10,0)</f>
        <v/>
      </c>
      <c r="E24" s="43" t="inlineStr">
        <is>
          <t>Custo semanal da PoC</t>
        </is>
      </c>
    </row>
    <row r="25">
      <c r="A25" s="6" t="inlineStr">
        <is>
          <t>Margem embutida (US$)</t>
        </is>
      </c>
      <c r="B25" s="33">
        <f>B15-Equipe!$H$17+B16-Infraestrutura!$E$10+B17-IA!$G$11</f>
        <v/>
      </c>
      <c r="E25" s="43" t="inlineStr">
        <is>
          <t>Diferença entre custo com margem e custo bruto</t>
        </is>
      </c>
    </row>
    <row r="26">
      <c r="A26" s="6" t="inlineStr">
        <is>
          <t>Infra + IA como % do total</t>
        </is>
      </c>
      <c r="B26" s="41">
        <f>IFERROR((B16+B17)/Resumo!$B$20,0)</f>
        <v/>
      </c>
      <c r="E26" s="43" t="inlineStr">
        <is>
          <t>No run de referência ficou abaixo de 1%: o preço é dirigido por pessoas, não por tokens</t>
        </is>
      </c>
    </row>
    <row r="27">
      <c r="A27" s="6" t="inlineStr">
        <is>
          <t>Aderência das horas (alocado ÷ recomendado)</t>
        </is>
      </c>
      <c r="B27" s="31">
        <f>IFERROR(Equipe!$F$17/Volumetria!$B$19,0)</f>
        <v/>
      </c>
      <c r="E27" s="43" t="inlineStr">
        <is>
          <t>Abaixo de 100% indica escopo maior que a capacidade alocada</t>
        </is>
      </c>
    </row>
    <row r="28">
      <c r="A28" s="6" t="inlineStr">
        <is>
          <t>FTE alocado</t>
        </is>
      </c>
      <c r="B28" s="17">
        <f>IFERROR(Equipe!$F$17/(Parametros!$B$10*Parametros!$B$11),0)</f>
        <v/>
      </c>
      <c r="E28" s="43" t="inlineStr">
        <is>
          <t>Pessoas em tempo integral efetivamente contratadas</t>
        </is>
      </c>
    </row>
    <row r="29">
      <c r="A29" s="6" t="inlineStr">
        <is>
          <t>FTE necessário pela volumetria</t>
        </is>
      </c>
      <c r="B29" s="17">
        <f>IFERROR(Volumetria!$B$19/(Parametros!$B$10*Parametros!$B$11),0)</f>
        <v/>
      </c>
      <c r="E29" s="43" t="inlineStr">
        <is>
          <t>Se maior que o alocado, o escopo precisa ser reduzido ou o time ampliado</t>
        </is>
      </c>
    </row>
    <row r="31">
      <c r="A31" s="6" t="inlineStr">
        <is>
          <t>Status do dimensionamento</t>
        </is>
      </c>
      <c r="B31" s="48">
        <f>IF(Equipe!$F$17&gt;=Volumetria!$B$19,"OK","REVISAR")</f>
        <v/>
      </c>
      <c r="E31" s="43">
        <f>IF(Equipe!$F$17&gt;=Volumetria!$B$19,"Alocação compatível com a volumetria informada.","Volumetria acima da capacidade alocada: reduza o escopo da PoC, aumente o time ou renegocie o prazo.")</f>
        <v/>
      </c>
    </row>
  </sheetData>
  <printOptions horizontalCentered="1"/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0" customWidth="1" min="3" max="3"/>
    <col width="34" customWidth="1" min="4" max="4"/>
  </cols>
  <sheetData>
    <row r="1" ht="24" customHeight="1">
      <c r="A1" s="1" t="inlineStr">
        <is>
          <t>7. Drivers de precificação (referência)</t>
        </is>
      </c>
    </row>
    <row r="2">
      <c r="A2" s="2" t="inlineStr">
        <is>
          <t>Seção 6.1 do dossiê da PoC. Define o que faz o preço variar de um cliente para outro.</t>
        </is>
      </c>
    </row>
    <row r="4" ht="20" customHeight="1">
      <c r="A4" s="3" t="inlineStr">
        <is>
          <t>7.1 Drivers</t>
        </is>
      </c>
      <c r="B4" s="3" t="n"/>
      <c r="C4" s="3" t="n"/>
      <c r="D4" s="3" t="n"/>
    </row>
    <row r="5" ht="28" customHeight="1">
      <c r="A5" s="13" t="inlineStr">
        <is>
          <t>Driver</t>
        </is>
      </c>
      <c r="B5" s="13" t="inlineStr">
        <is>
          <t>Métrica</t>
        </is>
      </c>
      <c r="C5" s="13" t="inlineStr">
        <is>
          <t>Impacto</t>
        </is>
      </c>
      <c r="D5" s="13" t="inlineStr">
        <is>
          <t>Onde entra na calculadora</t>
        </is>
      </c>
    </row>
    <row r="6" ht="30" customHeight="1">
      <c r="A6" s="49" t="inlineStr">
        <is>
          <t>Tamanho da base legada</t>
        </is>
      </c>
      <c r="B6" s="50" t="inlineStr">
        <is>
          <t>KLOC / nº de arquivos</t>
        </is>
      </c>
      <c r="C6" s="50" t="inlineStr">
        <is>
          <t>Custo de F0–F1 (linear)</t>
        </is>
      </c>
      <c r="D6" s="50" t="inlineStr">
        <is>
          <t>Volumetria B6 e B7</t>
        </is>
      </c>
    </row>
    <row r="7" ht="30" customHeight="1">
      <c r="A7" s="51" t="inlineStr">
        <is>
          <t>Complexidade de domínio</t>
        </is>
      </c>
      <c r="B7" s="52" t="inlineStr">
        <is>
          <t>nº de Bounded Contexts</t>
        </is>
      </c>
      <c r="C7" s="52" t="inlineStr">
        <is>
          <t>Custo de F2–F3S</t>
        </is>
      </c>
      <c r="D7" s="52" t="inlineStr">
        <is>
          <t>Volumetria — % do backlog no BC piloto (B23)</t>
        </is>
      </c>
    </row>
    <row r="8" ht="30" customHeight="1">
      <c r="A8" s="49" t="inlineStr">
        <is>
          <t>Volume de backlog</t>
        </is>
      </c>
      <c r="B8" s="50" t="inlineStr">
        <is>
          <t>nº de tasks / FP</t>
        </is>
      </c>
      <c r="C8" s="50" t="inlineStr">
        <is>
          <t>Custo de F4 (linear por task)</t>
        </is>
      </c>
      <c r="D8" s="50" t="inlineStr">
        <is>
          <t>Volumetria B22 e B24 → aba IA, fase F4</t>
        </is>
      </c>
    </row>
    <row r="9" ht="30" customHeight="1">
      <c r="A9" s="51" t="inlineStr">
        <is>
          <t>Escopo de segurança</t>
        </is>
      </c>
      <c r="B9" s="52" t="inlineStr">
        <is>
          <t>security_enabled_*, SAST/DAST, pentest</t>
        </is>
      </c>
      <c r="C9" s="52" t="inlineStr">
        <is>
          <t>Custo de F1-sec e F7</t>
        </is>
      </c>
      <c r="D9" s="52" t="inlineStr">
        <is>
          <t>Equipe — papel de Security &amp; compliance</t>
        </is>
      </c>
    </row>
    <row r="10" ht="30" customHeight="1">
      <c r="A10" s="49" t="inlineStr">
        <is>
          <t>Stacks-alvo</t>
        </is>
      </c>
      <c r="B10" s="50" t="inlineStr">
        <is>
          <t>1 backend + 1 frontend vs. múltiplas</t>
        </is>
      </c>
      <c r="C10" s="50" t="inlineStr">
        <is>
          <t>Complexidade de F4</t>
        </is>
      </c>
      <c r="D10" s="50" t="inlineStr">
        <is>
          <t>Equipe — devs de codegen; Volumetria — Migration Type</t>
        </is>
      </c>
    </row>
    <row r="11" ht="30" customHeight="1">
      <c r="A11" s="51" t="inlineStr">
        <is>
          <t>Nuvem e ambientes</t>
        </is>
      </c>
      <c r="B11" s="52" t="inlineStr">
        <is>
          <t>Azure/AWS/GCP × dev/hml/prd</t>
        </is>
      </c>
      <c r="C11" s="52" t="inlineStr">
        <is>
          <t>Custo de F6</t>
        </is>
      </c>
      <c r="D11" s="52" t="inlineStr">
        <is>
          <t>Aba Infraestrutura</t>
        </is>
      </c>
    </row>
    <row r="12" ht="30" customHeight="1">
      <c r="A12" s="49" t="inlineStr">
        <is>
          <t>Modo de execução</t>
        </is>
      </c>
      <c r="B12" s="50" t="inlineStr">
        <is>
          <t>SaaS Avanade vs. on-premise / VPC do banco</t>
        </is>
      </c>
      <c r="C12" s="50" t="inlineStr">
        <is>
          <t>Setup e compliance</t>
        </is>
      </c>
      <c r="D12" s="50" t="inlineStr">
        <is>
          <t>Equipe — Platform engineer; margem por item</t>
        </is>
      </c>
    </row>
    <row r="14" ht="20" customHeight="1">
      <c r="A14" s="3" t="inlineStr">
        <is>
          <t>7.2 Baseline medido — run real nopcommerce-04 (18–19/08/2026)</t>
        </is>
      </c>
      <c r="B14" s="3" t="n"/>
      <c r="C14" s="3" t="n"/>
      <c r="D14" s="3" t="n"/>
    </row>
    <row r="15">
      <c r="A15" s="25" t="inlineStr">
        <is>
          <t>254.001 LOC · 1.731 arquivos · 1.998 classes</t>
        </is>
      </c>
      <c r="B15" s="15" t="inlineStr">
        <is>
          <t>asis/metrics.json</t>
        </is>
      </c>
    </row>
    <row r="16">
      <c r="A16" s="25" t="inlineStr">
        <is>
          <t>15.785 procedimentos · 436 regras de negócio catalogadas</t>
        </is>
      </c>
      <c r="B16" s="15" t="inlineStr">
        <is>
          <t>brs/business_rules_catalog.json</t>
        </is>
      </c>
    </row>
    <row r="17">
      <c r="A17" s="25" t="inlineStr">
        <is>
          <t>10 bounded contexts · 2 god services</t>
        </is>
      </c>
      <c r="B17" s="15" t="inlineStr">
        <is>
          <t>asis/metrics.json</t>
        </is>
      </c>
    </row>
    <row r="18">
      <c r="A18" s="25" t="inlineStr">
        <is>
          <t>394 tasks · 2.991 arestas de dependência · 15 ondas</t>
        </is>
      </c>
      <c r="B18" s="15" t="inlineStr">
        <is>
          <t>speckit/traceability.json</t>
        </is>
      </c>
    </row>
    <row r="19">
      <c r="A19" s="25" t="inlineStr">
        <is>
          <t>232 artefatos / 82 MB · F0→F3S em ≈ 2 h 20 min de máquina</t>
        </is>
      </c>
      <c r="B19" s="15" t="inlineStr">
        <is>
          <t>pipeline_runner/</t>
        </is>
      </c>
    </row>
    <row r="20">
      <c r="A20" s="25" t="inlineStr">
        <is>
          <t>US$ 1,58 por task de codegen (239.619 in / 45–69k out)</t>
        </is>
      </c>
      <c r="B20" s="15" t="inlineStr">
        <is>
          <t>runner-state.json</t>
        </is>
      </c>
    </row>
    <row r="21">
      <c r="A21" s="25" t="inlineStr">
        <is>
          <t>Estimativa formal do programa: 3.323 h · 892 FP · 1.606 SP</t>
        </is>
      </c>
      <c r="B21" s="15" t="inlineStr">
        <is>
          <t>tobe/docs/effort-calculator.md</t>
        </is>
      </c>
    </row>
    <row r="22">
      <c r="A22" s="25" t="inlineStr">
        <is>
          <t>Infraestrutura do programa completo: US$ 1.410/mês</t>
        </is>
      </c>
      <c r="B22" s="15" t="inlineStr">
        <is>
          <t>azure-infra-estimator_reportV1.md</t>
        </is>
      </c>
    </row>
  </sheetData>
  <printOptions horizontalCentered="1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2026-08-21T23:44:21Z</dcterms:created>
  <dcterms:modified xmlns:dcterms="http://purl.org/dc/terms/" xmlns:xsi="http://www.w3.org/2001/XMLSchema-instance" xsi:type="dcterms:W3CDTF">2026-08-21T23:44:21Z</dcterms:modified>
</cp:coreProperties>
</file>